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<sst xmlns="http://schemas.openxmlformats.org/spreadsheetml/2006/main" count="41" uniqueCount="19">
  <si>
    <t>Hari</t>
  </si>
  <si>
    <t>Tanggal</t>
  </si>
  <si>
    <t>Jumlah Mobil Parkir di Gedung F</t>
  </si>
  <si>
    <t>Pagi</t>
  </si>
  <si>
    <t>Siang</t>
  </si>
  <si>
    <t>Sore</t>
  </si>
  <si>
    <t>Senin</t>
  </si>
  <si>
    <t>Selasa</t>
  </si>
  <si>
    <t>Rabu</t>
  </si>
  <si>
    <t>Kamis</t>
  </si>
  <si>
    <t>Jumat</t>
  </si>
  <si>
    <t>Estimasi total kantung parkir</t>
  </si>
  <si>
    <t>Rentang</t>
  </si>
  <si>
    <t>Tidak Penuh</t>
  </si>
  <si>
    <t>0&lt;x&lt;20</t>
  </si>
  <si>
    <t>Sedang</t>
  </si>
  <si>
    <t>20&lt;x&lt;40</t>
  </si>
  <si>
    <t>Penuh</t>
  </si>
  <si>
    <t>40&lt;x&lt;60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</si>
</sst>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 readingOrder="0"/>
    </xf>
    <xf borderId="6" fillId="0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6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88"/>
  </cols>
  <sheetData>
    <row r="1">
      <c r="A1" s="1" t="s">
        <v>0</v>
      </c>
      <c r="B1" s="1" t="s">
        <v>1</v>
      </c>
      <c r="C1" s="2" t="s">
        <v>2</v>
      </c>
      <c r="D1" s="3"/>
      <c r="E1" s="4"/>
    </row>
    <row r="2">
      <c r="A2" s="5"/>
      <c r="B2" s="5"/>
      <c r="C2" s="6" t="s">
        <v>3</v>
      </c>
      <c r="D2" s="6" t="s">
        <v>4</v>
      </c>
      <c r="E2" s="6" t="s">
        <v>5</v>
      </c>
    </row>
    <row r="3">
      <c r="A3" s="6" t="s">
        <v>6</v>
      </c>
      <c r="B3" s="7">
        <v>45978.0</v>
      </c>
      <c r="C3" s="6">
        <v>55.0</v>
      </c>
      <c r="D3" s="6">
        <f>(31+43)/2</f>
        <v>37</v>
      </c>
      <c r="E3" s="6">
        <v>20.0</v>
      </c>
    </row>
    <row r="4">
      <c r="A4" s="6" t="s">
        <v>7</v>
      </c>
      <c r="B4" s="7">
        <v>45979.0</v>
      </c>
      <c r="C4" s="6">
        <v>17.0</v>
      </c>
      <c r="D4" s="6">
        <v>31.0</v>
      </c>
      <c r="E4" s="6">
        <v>28.0</v>
      </c>
      <c r="G4" s="8"/>
    </row>
    <row r="5">
      <c r="A5" s="6" t="s">
        <v>8</v>
      </c>
      <c r="B5" s="7">
        <v>45980.0</v>
      </c>
      <c r="C5" s="6">
        <v>43.0</v>
      </c>
      <c r="D5" s="6">
        <v>47.0</v>
      </c>
      <c r="E5" s="6">
        <v>53.0</v>
      </c>
      <c r="G5" s="9"/>
      <c r="H5" s="9"/>
    </row>
    <row r="6">
      <c r="A6" s="6" t="s">
        <v>9</v>
      </c>
      <c r="B6" s="7">
        <v>45981.0</v>
      </c>
      <c r="C6" s="6">
        <v>38.0</v>
      </c>
      <c r="D6" s="6">
        <v>35.0</v>
      </c>
      <c r="E6" s="6">
        <v>20.0</v>
      </c>
      <c r="G6" s="9"/>
      <c r="H6" s="9"/>
    </row>
    <row r="7">
      <c r="A7" s="6" t="s">
        <v>10</v>
      </c>
      <c r="B7" s="7">
        <v>45982.0</v>
      </c>
      <c r="C7" s="6">
        <v>0.0</v>
      </c>
      <c r="D7" s="6">
        <v>0.0</v>
      </c>
      <c r="E7" s="6">
        <v>0.0</v>
      </c>
      <c r="G7" s="9"/>
      <c r="H7" s="9"/>
    </row>
    <row r="8">
      <c r="A8" s="10"/>
      <c r="B8" s="10"/>
      <c r="C8" s="11"/>
      <c r="D8" s="11"/>
      <c r="E8" s="11"/>
    </row>
    <row r="9">
      <c r="A9" s="10"/>
      <c r="B9" s="10"/>
      <c r="C9" s="11"/>
      <c r="D9" s="11"/>
      <c r="E9" s="11"/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</row>
    <row r="13">
      <c r="C13" s="8"/>
      <c r="D13" s="8"/>
      <c r="E13" s="8"/>
    </row>
    <row r="14">
      <c r="A14" s="8"/>
      <c r="B14" s="10"/>
      <c r="C14" s="8"/>
      <c r="D14" s="8"/>
      <c r="E14" s="8"/>
    </row>
    <row r="15">
      <c r="A15" s="8"/>
      <c r="B15" s="10"/>
      <c r="C15" s="8"/>
      <c r="D15" s="8"/>
      <c r="E15" s="8"/>
    </row>
    <row r="16">
      <c r="A16" s="8"/>
      <c r="B16" s="10"/>
      <c r="C16" s="8"/>
      <c r="D16" s="8"/>
      <c r="E16" s="8"/>
    </row>
    <row r="17">
      <c r="A17" s="8"/>
      <c r="B17" s="10"/>
      <c r="C17" s="8"/>
      <c r="D17" s="8"/>
      <c r="E17" s="8"/>
    </row>
    <row r="18">
      <c r="A18" s="8"/>
      <c r="B18" s="10"/>
      <c r="C18" s="8"/>
      <c r="D18" s="8"/>
      <c r="E18" s="8"/>
    </row>
  </sheetData>
  <mergeCells count="7">
    <mergeCell ref="A1:A2"/>
    <mergeCell ref="B1:B2"/>
    <mergeCell ref="C1:E1"/>
    <mergeCell ref="G4:H4"/>
    <mergeCell ref="A12:A13"/>
    <mergeCell ref="B12:B13"/>
    <mergeCell ref="C12:E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88"/>
  </cols>
  <sheetData>
    <row r="1">
      <c r="A1" s="1" t="s">
        <v>0</v>
      </c>
      <c r="B1" s="1" t="s">
        <v>1</v>
      </c>
      <c r="C1" s="2" t="s">
        <v>2</v>
      </c>
      <c r="D1" s="3"/>
      <c r="E1" s="4"/>
    </row>
    <row r="2">
      <c r="A2" s="5"/>
      <c r="B2" s="5"/>
      <c r="C2" s="6" t="s">
        <v>3</v>
      </c>
      <c r="D2" s="6" t="s">
        <v>4</v>
      </c>
      <c r="E2" s="6" t="s">
        <v>5</v>
      </c>
    </row>
    <row r="3">
      <c r="A3" s="6" t="s">
        <v>6</v>
      </c>
      <c r="B3" s="7">
        <v>45978.0</v>
      </c>
      <c r="C3" s="6">
        <v>55.0</v>
      </c>
      <c r="D3" s="6">
        <f>(31+43)/2</f>
        <v>37</v>
      </c>
      <c r="E3" s="6">
        <v>20.0</v>
      </c>
      <c r="G3" s="9" t="s">
        <v>11</v>
      </c>
      <c r="H3" s="9">
        <v>60.0</v>
      </c>
    </row>
    <row r="4">
      <c r="A4" s="6" t="s">
        <v>7</v>
      </c>
      <c r="B4" s="7">
        <v>45979.0</v>
      </c>
      <c r="C4" s="6">
        <v>17.0</v>
      </c>
      <c r="D4" s="6">
        <v>31.0</v>
      </c>
      <c r="E4" s="6">
        <v>28.0</v>
      </c>
      <c r="G4" s="2" t="s">
        <v>12</v>
      </c>
      <c r="H4" s="4"/>
    </row>
    <row r="5">
      <c r="A5" s="6" t="s">
        <v>8</v>
      </c>
      <c r="B5" s="7">
        <v>45980.0</v>
      </c>
      <c r="C5" s="6">
        <v>43.0</v>
      </c>
      <c r="D5" s="6">
        <v>47.0</v>
      </c>
      <c r="E5" s="6">
        <v>53.0</v>
      </c>
      <c r="G5" s="12" t="s">
        <v>13</v>
      </c>
      <c r="H5" s="12" t="s">
        <v>14</v>
      </c>
    </row>
    <row r="6">
      <c r="A6" s="6" t="s">
        <v>9</v>
      </c>
      <c r="B6" s="7">
        <v>45981.0</v>
      </c>
      <c r="C6" s="6">
        <v>38.0</v>
      </c>
      <c r="D6" s="6">
        <v>35.0</v>
      </c>
      <c r="E6" s="6">
        <v>20.0</v>
      </c>
      <c r="G6" s="12" t="s">
        <v>15</v>
      </c>
      <c r="H6" s="12" t="s">
        <v>16</v>
      </c>
    </row>
    <row r="7">
      <c r="A7" s="6" t="s">
        <v>10</v>
      </c>
      <c r="B7" s="7">
        <v>45982.0</v>
      </c>
      <c r="C7" s="6">
        <v>0.0</v>
      </c>
      <c r="D7" s="6">
        <v>0.0</v>
      </c>
      <c r="E7" s="6">
        <v>0.0</v>
      </c>
      <c r="G7" s="12" t="s">
        <v>17</v>
      </c>
      <c r="H7" s="12" t="s">
        <v>18</v>
      </c>
    </row>
    <row r="8">
      <c r="A8" s="10"/>
      <c r="B8" s="10"/>
      <c r="C8" s="11"/>
      <c r="D8" s="11"/>
      <c r="E8" s="11"/>
    </row>
    <row r="9">
      <c r="A9" s="10"/>
      <c r="B9" s="10"/>
      <c r="C9" s="11"/>
      <c r="D9" s="11"/>
      <c r="E9" s="11"/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1" t="s">
        <v>0</v>
      </c>
      <c r="B12" s="1" t="s">
        <v>1</v>
      </c>
      <c r="C12" s="2" t="s">
        <v>2</v>
      </c>
      <c r="D12" s="3"/>
      <c r="E12" s="4"/>
    </row>
    <row r="13">
      <c r="A13" s="5"/>
      <c r="B13" s="5"/>
      <c r="C13" s="6" t="s">
        <v>3</v>
      </c>
      <c r="D13" s="6" t="s">
        <v>4</v>
      </c>
      <c r="E13" s="6" t="s">
        <v>5</v>
      </c>
    </row>
    <row r="14">
      <c r="A14" s="6" t="s">
        <v>6</v>
      </c>
      <c r="B14" s="7">
        <v>45978.0</v>
      </c>
      <c r="C14" s="6" t="str">
        <f t="shared" ref="C14:E14" si="1">IF(AND(C3&gt;=0,C3&lt;=20),"Tidak Penuh",IF(AND(C3&gt;=20,C3&lt;=40),"Sedang",IF(AND(C3&gt;=40,C3&lt;=60),"Penuh","")))
</f>
        <v>Penuh</v>
      </c>
      <c r="D14" s="6" t="str">
        <f t="shared" si="1"/>
        <v>Sedang</v>
      </c>
      <c r="E14" s="6" t="str">
        <f t="shared" si="1"/>
        <v>Tidak Penuh</v>
      </c>
    </row>
    <row r="15">
      <c r="A15" s="6" t="s">
        <v>7</v>
      </c>
      <c r="B15" s="7">
        <v>45979.0</v>
      </c>
      <c r="C15" s="6" t="str">
        <f t="shared" ref="C15:E15" si="2">IF(AND(C4&gt;=0,C4&lt;=20),"Tidak Penuh",IF(AND(C4&gt;=20,C4&lt;=40),"Sedang",IF(AND(C4&gt;=40,C4&lt;=60),"Penuh","")))
</f>
        <v>Tidak Penuh</v>
      </c>
      <c r="D15" s="6" t="str">
        <f t="shared" si="2"/>
        <v>Sedang</v>
      </c>
      <c r="E15" s="6" t="str">
        <f t="shared" si="2"/>
        <v>Sedang</v>
      </c>
    </row>
    <row r="16">
      <c r="A16" s="6" t="s">
        <v>8</v>
      </c>
      <c r="B16" s="7">
        <v>45980.0</v>
      </c>
      <c r="C16" s="6" t="str">
        <f t="shared" ref="C16:E16" si="3">IF(AND(C5&gt;=0,C5&lt;=20),"Tidak Penuh",IF(AND(C5&gt;=20,C5&lt;=40),"Sedang",IF(AND(C5&gt;=40,C5&lt;=60),"Penuh","")))
</f>
        <v>Penuh</v>
      </c>
      <c r="D16" s="6" t="str">
        <f t="shared" si="3"/>
        <v>Penuh</v>
      </c>
      <c r="E16" s="6" t="str">
        <f t="shared" si="3"/>
        <v>Penuh</v>
      </c>
    </row>
    <row r="17">
      <c r="A17" s="6" t="s">
        <v>9</v>
      </c>
      <c r="B17" s="7">
        <v>45981.0</v>
      </c>
      <c r="C17" s="6" t="str">
        <f>IF(AND(C6&gt;=0,C6&lt;=20),"Tidak Penuh",IF(AND(C6&gt;=20,C6&lt;=40),"Sedang",IF(AND(C6&gt;=40,C6&lt;=60),"Penuh",IF(C6&gt;60,"Penuh","")))
)</f>
        <v>Sedang</v>
      </c>
      <c r="D17" s="6" t="str">
        <f t="shared" ref="D17:E17" si="4">IF(AND(D6&gt;=0,D6&lt;=20),"Tidak Penuh",IF(AND(D6&gt;=20,D6&lt;=40),"Sedang",IF(AND(D6&gt;=40,D6&lt;=60),"Penuh","")))
</f>
        <v>Sedang</v>
      </c>
      <c r="E17" s="6" t="str">
        <f t="shared" si="4"/>
        <v>Tidak Penuh</v>
      </c>
    </row>
    <row r="18">
      <c r="A18" s="6" t="s">
        <v>10</v>
      </c>
      <c r="B18" s="7">
        <v>45982.0</v>
      </c>
      <c r="C18" s="6" t="str">
        <f t="shared" ref="C18:E18" si="5">IF(AND(C7&gt;=0,C7&lt;=20),"Tidak Penuh",IF(AND(C7&gt;=20,C7&lt;=40),"Sedang",IF(AND(C7&gt;=40,C7&lt;=60),"Penuh","")))
</f>
        <v>Tidak Penuh</v>
      </c>
      <c r="D18" s="6" t="str">
        <f t="shared" si="5"/>
        <v>Tidak Penuh</v>
      </c>
      <c r="E18" s="6" t="str">
        <f t="shared" si="5"/>
        <v>Tidak Penuh</v>
      </c>
    </row>
  </sheetData>
  <mergeCells count="7">
    <mergeCell ref="A1:A2"/>
    <mergeCell ref="B1:B2"/>
    <mergeCell ref="C1:E1"/>
    <mergeCell ref="G4:H4"/>
    <mergeCell ref="A12:A13"/>
    <mergeCell ref="B12:B13"/>
    <mergeCell ref="C12:E12"/>
  </mergeCells>
  <drawing r:id="rId1"/>
</worksheet>
</file>